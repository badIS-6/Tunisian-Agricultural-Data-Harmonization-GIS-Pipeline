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E11" i="1"/>
  <c r="D11" i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F11" i="1" s="1"/>
  <c r="C11" i="1"/>
  <c r="G2" i="1" l="1"/>
  <c r="G11" i="1" s="1"/>
</calcChain>
</file>

<file path=xl/sharedStrings.xml><?xml version="1.0" encoding="utf-8"?>
<sst xmlns="http://schemas.openxmlformats.org/spreadsheetml/2006/main" count="18" uniqueCount="18">
  <si>
    <t>Année</t>
  </si>
  <si>
    <t>Délégation</t>
  </si>
  <si>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</si>
  <si>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</si>
  <si>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</si>
  <si>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</si>
  <si>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</si>
  <si>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</si>
  <si>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</si>
  <si>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</si>
  <si>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Beni Khedech</t>
  </si>
  <si>
    <t>Total</t>
  </si>
  <si>
    <t>Superficie des terres agricoles_ha</t>
  </si>
  <si>
    <t>Superfice des parcours_ha</t>
  </si>
  <si>
    <t>Superficies des forêts_ha</t>
  </si>
  <si>
    <t>Superficie totale des terres agricoles_ha</t>
  </si>
  <si>
    <t>Superficie non agricole_ha</t>
  </si>
  <si>
    <t>Superficie totale 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</si>
</sst>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8.140625" customWidth="1"/>
    <col min="2" max="2" width="14.7109375" customWidth="1"/>
    <col min="3" max="3" width="21.85546875" customWidth="1"/>
    <col min="4" max="4" width="16.5703125" customWidth="1"/>
    <col min="5" max="5" width="23.140625" customWidth="1"/>
    <col min="6" max="6" width="30.85546875" customWidth="1"/>
    <col min="7" max="7" width="21.140625" customWidth="1"/>
    <col min="8" max="8" width="24.140625" customWidth="1"/>
  </cols>
  <sheetData>
    <row r="1" spans="1:8" ht="15.75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15.75" x14ac:dyDescent="0.25">
      <c r="A2" s="2">
        <v>2024</v>
      </c>
      <c r="B2" s="3" t="s">
        <v>8</v>
      </c>
      <c r="C2" s="4">
        <v>12735</v>
      </c>
      <c r="D2" s="5">
        <v>20460</v>
      </c>
      <c r="E2" s="5">
        <v>498.5</v>
      </c>
      <c r="F2" s="3">
        <f>SUM(C2:E2)</f>
        <v>33693.5</v>
      </c>
      <c r="G2" s="6">
        <f>H2-F2</f>
        <v>2908.2042539230097</v>
      </c>
      <c r="H2" s="6">
        <v>36601.70425392301</v>
      </c>
    </row>
    <row r="3" spans="1:8" ht="15.75" x14ac:dyDescent="0.25">
      <c r="A3" s="2">
        <v>2024</v>
      </c>
      <c r="B3" s="3" t="s">
        <v>2</v>
      </c>
      <c r="C3" s="4">
        <v>21534</v>
      </c>
      <c r="D3" s="5">
        <v>49000</v>
      </c>
      <c r="E3" s="5">
        <v>541</v>
      </c>
      <c r="F3" s="3">
        <f t="shared" ref="F3:F10" si="0">SUM(C3:E3)</f>
        <v>71075</v>
      </c>
      <c r="G3" s="6">
        <f t="shared" ref="G3:G10" si="1">H3-F3</f>
        <v>2877.0385274000582</v>
      </c>
      <c r="H3" s="6">
        <v>73952.038527400058</v>
      </c>
    </row>
    <row r="4" spans="1:8" ht="15.75" x14ac:dyDescent="0.25">
      <c r="A4" s="2">
        <v>2024</v>
      </c>
      <c r="B4" s="3" t="s">
        <v>3</v>
      </c>
      <c r="C4" s="4">
        <v>27934</v>
      </c>
      <c r="D4" s="5">
        <v>34556</v>
      </c>
      <c r="E4" s="5">
        <v>814.5</v>
      </c>
      <c r="F4" s="3">
        <f t="shared" si="0"/>
        <v>63304.5</v>
      </c>
      <c r="G4" s="6">
        <f t="shared" si="1"/>
        <v>2521.6291281828599</v>
      </c>
      <c r="H4" s="6">
        <v>65826.12912818286</v>
      </c>
    </row>
    <row r="5" spans="1:8" ht="15.75" x14ac:dyDescent="0.25">
      <c r="A5" s="2">
        <v>2024</v>
      </c>
      <c r="B5" s="3" t="s">
        <v>4</v>
      </c>
      <c r="C5" s="4">
        <v>6316</v>
      </c>
      <c r="D5" s="5">
        <v>0</v>
      </c>
      <c r="E5" s="5">
        <v>29</v>
      </c>
      <c r="F5" s="3">
        <f t="shared" si="0"/>
        <v>6345</v>
      </c>
      <c r="G5" s="6">
        <f t="shared" si="1"/>
        <v>7507.230464439519</v>
      </c>
      <c r="H5" s="6">
        <v>13852.230464439519</v>
      </c>
    </row>
    <row r="6" spans="1:8" ht="15.75" x14ac:dyDescent="0.25">
      <c r="A6" s="2">
        <v>2024</v>
      </c>
      <c r="B6" s="3" t="s">
        <v>5</v>
      </c>
      <c r="C6" s="4">
        <v>6249</v>
      </c>
      <c r="D6" s="5">
        <v>0</v>
      </c>
      <c r="E6" s="5">
        <v>38.5</v>
      </c>
      <c r="F6" s="3">
        <f t="shared" si="0"/>
        <v>6287.5</v>
      </c>
      <c r="G6" s="6">
        <f t="shared" si="1"/>
        <v>11021.165662748215</v>
      </c>
      <c r="H6" s="6">
        <v>17308.665662748215</v>
      </c>
    </row>
    <row r="7" spans="1:8" ht="15.75" x14ac:dyDescent="0.25">
      <c r="A7" s="2">
        <v>2024</v>
      </c>
      <c r="B7" s="3" t="s">
        <v>6</v>
      </c>
      <c r="C7" s="4">
        <v>6339</v>
      </c>
      <c r="D7" s="5">
        <v>0</v>
      </c>
      <c r="E7" s="5">
        <v>0</v>
      </c>
      <c r="F7" s="3">
        <f t="shared" si="0"/>
        <v>6339</v>
      </c>
      <c r="G7" s="6">
        <f t="shared" si="1"/>
        <v>12269.283155473757</v>
      </c>
      <c r="H7" s="6">
        <v>18608.283155473757</v>
      </c>
    </row>
    <row r="8" spans="1:8" ht="15.75" x14ac:dyDescent="0.25">
      <c r="A8" s="2">
        <v>2024</v>
      </c>
      <c r="B8" s="3" t="s">
        <v>7</v>
      </c>
      <c r="C8" s="4">
        <v>69172</v>
      </c>
      <c r="D8" s="5">
        <v>3580</v>
      </c>
      <c r="E8" s="5">
        <v>313</v>
      </c>
      <c r="F8" s="3">
        <f t="shared" si="0"/>
        <v>73065</v>
      </c>
      <c r="G8" s="6">
        <f t="shared" si="1"/>
        <v>10921.768946965924</v>
      </c>
      <c r="H8" s="6">
        <v>83986.768946965924</v>
      </c>
    </row>
    <row r="9" spans="1:8" ht="15.75" x14ac:dyDescent="0.25">
      <c r="A9" s="2">
        <v>2024</v>
      </c>
      <c r="B9" s="3" t="s">
        <v>9</v>
      </c>
      <c r="C9" s="4">
        <v>58235</v>
      </c>
      <c r="D9" s="5">
        <v>396653</v>
      </c>
      <c r="E9" s="5">
        <v>1223</v>
      </c>
      <c r="F9" s="3">
        <f t="shared" si="0"/>
        <v>456111</v>
      </c>
      <c r="G9" s="6">
        <f t="shared" si="1"/>
        <v>22961.417693449243</v>
      </c>
      <c r="H9" s="6">
        <v>479072.41769344924</v>
      </c>
    </row>
    <row r="10" spans="1:8" ht="15.75" x14ac:dyDescent="0.25">
      <c r="A10" s="2">
        <v>2024</v>
      </c>
      <c r="B10" s="3" t="s">
        <v>10</v>
      </c>
      <c r="C10" s="4">
        <v>16990</v>
      </c>
      <c r="D10" s="5">
        <v>96511</v>
      </c>
      <c r="E10" s="5">
        <v>1627</v>
      </c>
      <c r="F10" s="3">
        <f t="shared" si="0"/>
        <v>115128</v>
      </c>
      <c r="G10" s="6">
        <f t="shared" si="1"/>
        <v>20589.231826174859</v>
      </c>
      <c r="H10" s="6">
        <v>135717.23182617486</v>
      </c>
    </row>
    <row r="11" spans="1:8" ht="15.75" x14ac:dyDescent="0.25">
      <c r="A11" s="2">
        <v>2024</v>
      </c>
      <c r="B11" s="3" t="s">
        <v>11</v>
      </c>
      <c r="C11" s="4">
        <f t="shared" ref="C11:H11" si="2">SUM(C2:C10)</f>
        <v>225504</v>
      </c>
      <c r="D11" s="5">
        <f t="shared" si="2"/>
        <v>600760</v>
      </c>
      <c r="E11" s="5">
        <f t="shared" si="2"/>
        <v>5084.5</v>
      </c>
      <c r="F11" s="3">
        <f t="shared" si="2"/>
        <v>831348.5</v>
      </c>
      <c r="G11" s="6">
        <f t="shared" si="2"/>
        <v>93576.969658757444</v>
      </c>
      <c r="H11" s="6">
        <f t="shared" si="2"/>
        <v>924925.46965875744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2026-03-11T08:46:05Z</dcterms:modified>
</cp:coreProperties>
</file>