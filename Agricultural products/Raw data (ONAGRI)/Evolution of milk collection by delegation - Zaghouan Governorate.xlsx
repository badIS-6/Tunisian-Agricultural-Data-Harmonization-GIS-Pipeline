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21" sheetId="445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Agric21!$B$1:$E$9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9" i="445" l="1"/>
  <c r="D29" i="445"/>
  <c r="E22" i="445" l="1"/>
  <c r="D22" i="445"/>
</calcChain>
</file>

<file path=xl/sharedStrings.xml><?xml version="1.0" encoding="utf-8"?>
<sst xmlns="http://schemas.openxmlformats.org/spreadsheetml/2006/main" count="40" uniqueCount="12">
  <si>
    <t>المجمـوع</t>
  </si>
  <si>
    <t>الزريبة</t>
  </si>
  <si>
    <t>بئر مشارقة</t>
  </si>
  <si>
    <t>الفحص</t>
  </si>
  <si>
    <t>الناظور</t>
  </si>
  <si>
    <t>صواف</t>
  </si>
  <si>
    <t>زغوان</t>
  </si>
  <si>
    <t>Délégation</t>
  </si>
  <si>
    <t>Centres de collecte</t>
  </si>
  <si>
    <t>Quantité collectée (1000L)</t>
  </si>
  <si>
    <t>Année</t>
  </si>
  <si>
    <t>Capacité de refroidissement (Litre /jour)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</si>
</sst>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Arial"/>
      <family val="2"/>
      <charset val="178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46">
    <xf numFmtId="0" fontId="0" fillId="0" borderId="0"/>
    <xf numFmtId="44" fontId="25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25" fillId="0" borderId="0"/>
    <xf numFmtId="0" fontId="12" fillId="0" borderId="0"/>
    <xf numFmtId="0" fontId="25" fillId="0" borderId="0"/>
    <xf numFmtId="0" fontId="25" fillId="0" borderId="0"/>
    <xf numFmtId="0" fontId="11" fillId="0" borderId="0"/>
    <xf numFmtId="0" fontId="10" fillId="0" borderId="0"/>
    <xf numFmtId="0" fontId="9" fillId="0" borderId="0"/>
    <xf numFmtId="0" fontId="2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30" fillId="0" borderId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31">
    <xf numFmtId="0" fontId="0" fillId="0" borderId="0" xfId="0"/>
    <xf numFmtId="0" fontId="21" fillId="0" borderId="0" xfId="782" applyFill="1"/>
    <xf numFmtId="0" fontId="21" fillId="0" borderId="0" xfId="782"/>
    <xf numFmtId="0" fontId="16" fillId="2" borderId="0" xfId="782" applyFont="1" applyFill="1"/>
    <xf numFmtId="0" fontId="24" fillId="2" borderId="0" xfId="114" applyFont="1" applyFill="1" applyBorder="1" applyAlignment="1">
      <alignment horizontal="center" vertical="center"/>
    </xf>
    <xf numFmtId="0" fontId="32" fillId="0" borderId="1" xfId="782" applyFont="1" applyFill="1" applyBorder="1" applyAlignment="1">
      <alignment horizontal="right" vertical="center" indent="1"/>
    </xf>
    <xf numFmtId="0" fontId="32" fillId="0" borderId="1" xfId="782" applyFont="1" applyFill="1" applyBorder="1" applyAlignment="1">
      <alignment horizontal="center" vertical="center"/>
    </xf>
    <xf numFmtId="0" fontId="32" fillId="0" borderId="1" xfId="83" applyNumberFormat="1" applyFont="1" applyFill="1" applyBorder="1" applyAlignment="1">
      <alignment horizontal="right" vertical="center" indent="1"/>
    </xf>
    <xf numFmtId="0" fontId="33" fillId="0" borderId="1" xfId="782" applyNumberFormat="1" applyFont="1" applyFill="1" applyBorder="1" applyAlignment="1">
      <alignment horizontal="center" vertical="center"/>
    </xf>
    <xf numFmtId="0" fontId="33" fillId="2" borderId="1" xfId="782" applyNumberFormat="1" applyFont="1" applyFill="1" applyBorder="1" applyAlignment="1">
      <alignment horizontal="center" vertical="center"/>
    </xf>
    <xf numFmtId="1" fontId="33" fillId="2" borderId="1" xfId="782" applyNumberFormat="1" applyFont="1" applyFill="1" applyBorder="1" applyAlignment="1">
      <alignment horizontal="center" vertical="center"/>
    </xf>
    <xf numFmtId="0" fontId="33" fillId="0" borderId="1" xfId="110" applyFont="1" applyFill="1" applyBorder="1" applyAlignment="1">
      <alignment horizontal="center" vertical="center"/>
    </xf>
    <xf numFmtId="1" fontId="31" fillId="0" borderId="1" xfId="782" applyNumberFormat="1" applyFont="1" applyBorder="1" applyAlignment="1">
      <alignment horizontal="center" vertical="center"/>
    </xf>
    <xf numFmtId="1" fontId="33" fillId="0" borderId="1" xfId="782" applyNumberFormat="1" applyFont="1" applyFill="1" applyBorder="1" applyAlignment="1">
      <alignment horizontal="center" vertical="center"/>
    </xf>
    <xf numFmtId="0" fontId="33" fillId="0" borderId="1" xfId="113" applyNumberFormat="1" applyFont="1" applyFill="1" applyBorder="1" applyAlignment="1">
      <alignment horizontal="center" vertical="center"/>
    </xf>
    <xf numFmtId="3" fontId="33" fillId="0" borderId="1" xfId="113" applyNumberFormat="1" applyFont="1" applyFill="1" applyBorder="1" applyAlignment="1">
      <alignment horizontal="center" vertical="center"/>
    </xf>
    <xf numFmtId="0" fontId="33" fillId="0" borderId="1" xfId="114" applyFont="1" applyFill="1" applyBorder="1" applyAlignment="1">
      <alignment horizontal="center" vertical="center"/>
    </xf>
    <xf numFmtId="3" fontId="32" fillId="0" borderId="1" xfId="0" applyNumberFormat="1" applyFont="1" applyFill="1" applyBorder="1" applyAlignment="1">
      <alignment horizontal="center" vertical="center"/>
    </xf>
    <xf numFmtId="1" fontId="33" fillId="2" borderId="1" xfId="2868" applyNumberFormat="1" applyFont="1" applyFill="1" applyBorder="1" applyAlignment="1">
      <alignment horizontal="center" vertical="center"/>
    </xf>
    <xf numFmtId="1" fontId="33" fillId="2" borderId="1" xfId="3059" applyNumberFormat="1" applyFont="1" applyFill="1" applyBorder="1" applyAlignment="1">
      <alignment horizontal="center" vertical="center"/>
    </xf>
    <xf numFmtId="1" fontId="31" fillId="0" borderId="1" xfId="2868" applyNumberFormat="1" applyFont="1" applyBorder="1" applyAlignment="1">
      <alignment horizontal="center" vertical="center"/>
    </xf>
    <xf numFmtId="1" fontId="31" fillId="0" borderId="1" xfId="3059" applyNumberFormat="1" applyFont="1" applyBorder="1" applyAlignment="1">
      <alignment horizontal="center" vertical="center"/>
    </xf>
    <xf numFmtId="0" fontId="31" fillId="0" borderId="1" xfId="782" applyFont="1" applyBorder="1"/>
    <xf numFmtId="0" fontId="33" fillId="0" borderId="1" xfId="782" applyFont="1" applyFill="1" applyBorder="1"/>
    <xf numFmtId="0" fontId="31" fillId="0" borderId="1" xfId="782" applyFont="1" applyBorder="1" applyAlignment="1">
      <alignment horizontal="center"/>
    </xf>
    <xf numFmtId="1" fontId="33" fillId="0" borderId="1" xfId="110" applyNumberFormat="1" applyFont="1" applyFill="1" applyBorder="1" applyAlignment="1">
      <alignment horizontal="center" vertical="center"/>
    </xf>
    <xf numFmtId="1" fontId="33" fillId="0" borderId="1" xfId="113" applyNumberFormat="1" applyFont="1" applyFill="1" applyBorder="1" applyAlignment="1">
      <alignment horizontal="center" vertical="center"/>
    </xf>
    <xf numFmtId="1" fontId="33" fillId="0" borderId="1" xfId="114" applyNumberFormat="1" applyFont="1" applyFill="1" applyBorder="1" applyAlignment="1">
      <alignment horizontal="center" vertical="center"/>
    </xf>
    <xf numFmtId="1" fontId="32" fillId="0" borderId="1" xfId="0" applyNumberFormat="1" applyFont="1" applyFill="1" applyBorder="1" applyAlignment="1">
      <alignment horizontal="center" vertical="center"/>
    </xf>
    <xf numFmtId="0" fontId="34" fillId="0" borderId="1" xfId="83" applyNumberFormat="1" applyFont="1" applyFill="1" applyBorder="1" applyAlignment="1">
      <alignment horizontal="right" vertical="center" indent="1"/>
    </xf>
    <xf numFmtId="0" fontId="35" fillId="0" borderId="1" xfId="782" applyFont="1" applyFill="1" applyBorder="1" applyAlignment="1">
      <alignment horizontal="right" vertical="center" indent="1"/>
    </xf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36"/>
  <sheetViews>
    <sheetView tabSelected="1" zoomScaleNormal="10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J29" sqref="J29"/>
    </sheetView>
  </sheetViews>
  <sheetFormatPr baseColWidth="10" defaultColWidth="11.42578125" defaultRowHeight="15" x14ac:dyDescent="0.25"/>
  <cols>
    <col min="1" max="1" width="11.42578125" style="2"/>
    <col min="2" max="2" width="27.85546875" style="2" customWidth="1"/>
    <col min="3" max="3" width="21.85546875" style="2" customWidth="1"/>
    <col min="4" max="4" width="39.28515625" style="2" customWidth="1"/>
    <col min="5" max="5" width="30.28515625" style="2" customWidth="1"/>
    <col min="6" max="16384" width="11.42578125" style="2"/>
  </cols>
  <sheetData>
    <row r="1" spans="1:6" s="1" customFormat="1" ht="20.100000000000001" customHeight="1" x14ac:dyDescent="0.25">
      <c r="A1" s="5" t="s">
        <v>10</v>
      </c>
      <c r="B1" s="5" t="s">
        <v>7</v>
      </c>
      <c r="C1" s="6" t="s">
        <v>8</v>
      </c>
      <c r="D1" s="6" t="s">
        <v>11</v>
      </c>
      <c r="E1" s="6" t="s">
        <v>9</v>
      </c>
    </row>
    <row r="2" spans="1:6" ht="18.75" customHeight="1" x14ac:dyDescent="0.25">
      <c r="A2" s="22">
        <v>2020</v>
      </c>
      <c r="B2" s="7" t="s">
        <v>6</v>
      </c>
      <c r="C2" s="8"/>
      <c r="D2" s="9"/>
      <c r="E2" s="10"/>
    </row>
    <row r="3" spans="1:6" ht="18.75" customHeight="1" x14ac:dyDescent="0.25">
      <c r="A3" s="22">
        <v>2020</v>
      </c>
      <c r="B3" s="7" t="s">
        <v>1</v>
      </c>
      <c r="C3" s="11"/>
      <c r="D3" s="12"/>
      <c r="E3" s="12"/>
      <c r="F3" s="3"/>
    </row>
    <row r="4" spans="1:6" ht="18.75" customHeight="1" x14ac:dyDescent="0.25">
      <c r="A4" s="22">
        <v>2020</v>
      </c>
      <c r="B4" s="7" t="s">
        <v>2</v>
      </c>
      <c r="C4" s="13"/>
      <c r="D4" s="12"/>
      <c r="E4" s="12"/>
    </row>
    <row r="5" spans="1:6" ht="18.75" customHeight="1" x14ac:dyDescent="0.25">
      <c r="A5" s="22">
        <v>2020</v>
      </c>
      <c r="B5" s="7" t="s">
        <v>3</v>
      </c>
      <c r="C5" s="14">
        <v>1</v>
      </c>
      <c r="D5" s="15">
        <v>18000</v>
      </c>
      <c r="E5" s="15">
        <v>1162</v>
      </c>
    </row>
    <row r="6" spans="1:6" ht="18.75" customHeight="1" x14ac:dyDescent="0.25">
      <c r="A6" s="22">
        <v>2020</v>
      </c>
      <c r="B6" s="7" t="s">
        <v>4</v>
      </c>
      <c r="C6" s="14"/>
      <c r="D6" s="14"/>
      <c r="E6" s="14"/>
    </row>
    <row r="7" spans="1:6" ht="18.75" customHeight="1" x14ac:dyDescent="0.25">
      <c r="A7" s="22">
        <v>2020</v>
      </c>
      <c r="B7" s="7" t="s">
        <v>5</v>
      </c>
      <c r="C7" s="16"/>
      <c r="D7" s="16"/>
      <c r="E7" s="16"/>
    </row>
    <row r="8" spans="1:6" ht="18.75" customHeight="1" x14ac:dyDescent="0.25">
      <c r="A8" s="22">
        <v>2020</v>
      </c>
      <c r="B8" s="5" t="s">
        <v>0</v>
      </c>
      <c r="C8" s="17">
        <v>1</v>
      </c>
      <c r="D8" s="17">
        <v>18000</v>
      </c>
      <c r="E8" s="17">
        <v>1162</v>
      </c>
    </row>
    <row r="9" spans="1:6" ht="18.75" customHeight="1" x14ac:dyDescent="0.25">
      <c r="A9" s="22">
        <v>2021</v>
      </c>
      <c r="B9" s="7" t="s">
        <v>6</v>
      </c>
      <c r="C9" s="23"/>
      <c r="D9" s="18"/>
      <c r="E9" s="19"/>
    </row>
    <row r="10" spans="1:6" ht="18.75" customHeight="1" x14ac:dyDescent="0.25">
      <c r="A10" s="22">
        <v>2021</v>
      </c>
      <c r="B10" s="7" t="s">
        <v>1</v>
      </c>
      <c r="C10" s="22"/>
      <c r="D10" s="20"/>
      <c r="E10" s="21"/>
    </row>
    <row r="11" spans="1:6" ht="18.75" customHeight="1" x14ac:dyDescent="0.25">
      <c r="A11" s="22">
        <v>2021</v>
      </c>
      <c r="B11" s="7" t="s">
        <v>2</v>
      </c>
      <c r="C11" s="22"/>
      <c r="D11" s="20"/>
      <c r="E11" s="21"/>
    </row>
    <row r="12" spans="1:6" ht="18.75" customHeight="1" x14ac:dyDescent="0.25">
      <c r="A12" s="22">
        <v>2021</v>
      </c>
      <c r="B12" s="7" t="s">
        <v>3</v>
      </c>
      <c r="C12" s="24">
        <v>1</v>
      </c>
      <c r="D12" s="15">
        <v>18000</v>
      </c>
      <c r="E12" s="15">
        <v>1723.7</v>
      </c>
    </row>
    <row r="13" spans="1:6" ht="18.75" customHeight="1" x14ac:dyDescent="0.25">
      <c r="A13" s="22">
        <v>2021</v>
      </c>
      <c r="B13" s="7" t="s">
        <v>4</v>
      </c>
      <c r="C13" s="22"/>
      <c r="D13" s="14"/>
      <c r="E13" s="14"/>
      <c r="F13" s="4"/>
    </row>
    <row r="14" spans="1:6" ht="18.75" customHeight="1" x14ac:dyDescent="0.25">
      <c r="A14" s="22">
        <v>2021</v>
      </c>
      <c r="B14" s="7" t="s">
        <v>5</v>
      </c>
      <c r="C14" s="22"/>
      <c r="D14" s="16"/>
      <c r="E14" s="16"/>
      <c r="F14" s="4"/>
    </row>
    <row r="15" spans="1:6" ht="18.75" customHeight="1" x14ac:dyDescent="0.25">
      <c r="A15" s="22">
        <v>2021</v>
      </c>
      <c r="B15" s="5" t="s">
        <v>0</v>
      </c>
      <c r="C15" s="22"/>
      <c r="D15" s="17">
        <v>18000</v>
      </c>
      <c r="E15" s="17">
        <v>1723.7</v>
      </c>
    </row>
    <row r="16" spans="1:6" ht="18.75" customHeight="1" x14ac:dyDescent="0.25">
      <c r="A16" s="22">
        <v>2022</v>
      </c>
      <c r="B16" s="7" t="s">
        <v>6</v>
      </c>
      <c r="C16" s="22"/>
      <c r="D16" s="10"/>
      <c r="E16" s="10"/>
    </row>
    <row r="17" spans="1:5" ht="18.75" customHeight="1" x14ac:dyDescent="0.25">
      <c r="A17" s="22">
        <v>2022</v>
      </c>
      <c r="B17" s="7" t="s">
        <v>1</v>
      </c>
      <c r="C17" s="22"/>
      <c r="D17" s="12"/>
      <c r="E17" s="12"/>
    </row>
    <row r="18" spans="1:5" ht="18.75" customHeight="1" x14ac:dyDescent="0.25">
      <c r="A18" s="22">
        <v>2022</v>
      </c>
      <c r="B18" s="7" t="s">
        <v>2</v>
      </c>
      <c r="C18" s="22"/>
      <c r="D18" s="12"/>
      <c r="E18" s="12"/>
    </row>
    <row r="19" spans="1:5" ht="18.75" customHeight="1" x14ac:dyDescent="0.25">
      <c r="A19" s="22">
        <v>2022</v>
      </c>
      <c r="B19" s="7" t="s">
        <v>3</v>
      </c>
      <c r="C19" s="24">
        <v>1</v>
      </c>
      <c r="D19" s="15">
        <v>18000</v>
      </c>
      <c r="E19" s="15">
        <v>2032.4</v>
      </c>
    </row>
    <row r="20" spans="1:5" ht="18.75" customHeight="1" x14ac:dyDescent="0.25">
      <c r="A20" s="22">
        <v>2022</v>
      </c>
      <c r="B20" s="7" t="s">
        <v>4</v>
      </c>
      <c r="C20" s="22"/>
      <c r="D20" s="14">
        <v>5000</v>
      </c>
      <c r="E20" s="14">
        <v>545.29999999999995</v>
      </c>
    </row>
    <row r="21" spans="1:5" ht="18.75" customHeight="1" x14ac:dyDescent="0.25">
      <c r="A21" s="22">
        <v>2022</v>
      </c>
      <c r="B21" s="7" t="s">
        <v>5</v>
      </c>
      <c r="C21" s="24">
        <v>1</v>
      </c>
      <c r="D21" s="16"/>
      <c r="E21" s="16"/>
    </row>
    <row r="22" spans="1:5" ht="18.75" customHeight="1" x14ac:dyDescent="0.25">
      <c r="A22" s="22">
        <v>2022</v>
      </c>
      <c r="B22" s="5" t="s">
        <v>0</v>
      </c>
      <c r="C22" s="24">
        <v>2</v>
      </c>
      <c r="D22" s="17">
        <f>SUM(D16:D21)</f>
        <v>23000</v>
      </c>
      <c r="E22" s="17">
        <f>SUM(E16:E21)</f>
        <v>2577.6999999999998</v>
      </c>
    </row>
    <row r="23" spans="1:5" ht="18.75" customHeight="1" x14ac:dyDescent="0.25">
      <c r="A23" s="22">
        <v>2023</v>
      </c>
      <c r="B23" s="7" t="s">
        <v>6</v>
      </c>
      <c r="C23" s="13"/>
      <c r="D23" s="10"/>
      <c r="E23" s="10"/>
    </row>
    <row r="24" spans="1:5" ht="18.75" customHeight="1" x14ac:dyDescent="0.25">
      <c r="A24" s="22">
        <v>2023</v>
      </c>
      <c r="B24" s="7" t="s">
        <v>1</v>
      </c>
      <c r="C24" s="25"/>
      <c r="D24" s="12"/>
      <c r="E24" s="12"/>
    </row>
    <row r="25" spans="1:5" ht="18.75" customHeight="1" x14ac:dyDescent="0.25">
      <c r="A25" s="22">
        <v>2023</v>
      </c>
      <c r="B25" s="7" t="s">
        <v>2</v>
      </c>
      <c r="C25" s="13"/>
      <c r="D25" s="12"/>
      <c r="E25" s="12"/>
    </row>
    <row r="26" spans="1:5" ht="18.75" customHeight="1" x14ac:dyDescent="0.25">
      <c r="A26" s="22">
        <v>2023</v>
      </c>
      <c r="B26" s="7" t="s">
        <v>3</v>
      </c>
      <c r="C26" s="26">
        <v>1</v>
      </c>
      <c r="D26" s="26">
        <v>18000</v>
      </c>
      <c r="E26" s="26">
        <v>2099.1</v>
      </c>
    </row>
    <row r="27" spans="1:5" ht="18.75" customHeight="1" x14ac:dyDescent="0.25">
      <c r="A27" s="22">
        <v>2023</v>
      </c>
      <c r="B27" s="7" t="s">
        <v>4</v>
      </c>
      <c r="C27" s="26">
        <v>1</v>
      </c>
      <c r="D27" s="26">
        <v>8000</v>
      </c>
      <c r="E27" s="26">
        <v>1791</v>
      </c>
    </row>
    <row r="28" spans="1:5" ht="18.75" customHeight="1" x14ac:dyDescent="0.25">
      <c r="A28" s="22">
        <v>2023</v>
      </c>
      <c r="B28" s="7" t="s">
        <v>5</v>
      </c>
      <c r="C28" s="27"/>
      <c r="D28" s="27"/>
      <c r="E28" s="27"/>
    </row>
    <row r="29" spans="1:5" ht="18.75" customHeight="1" x14ac:dyDescent="0.25">
      <c r="A29" s="22">
        <v>2023</v>
      </c>
      <c r="B29" s="5" t="s">
        <v>0</v>
      </c>
      <c r="C29" s="28">
        <v>2</v>
      </c>
      <c r="D29" s="28">
        <f>SUM(D23:D28)</f>
        <v>26000</v>
      </c>
      <c r="E29" s="28">
        <f>SUM(E23:E28)</f>
        <v>3890.1</v>
      </c>
    </row>
    <row r="30" spans="1:5" ht="19.5" customHeight="1" x14ac:dyDescent="0.25">
      <c r="A30" s="22">
        <v>2024</v>
      </c>
      <c r="B30" s="29" t="s">
        <v>6</v>
      </c>
      <c r="C30" s="26"/>
      <c r="D30" s="26"/>
      <c r="E30" s="26"/>
    </row>
    <row r="31" spans="1:5" ht="19.5" customHeight="1" x14ac:dyDescent="0.25">
      <c r="A31" s="22">
        <v>2024</v>
      </c>
      <c r="B31" s="29" t="s">
        <v>1</v>
      </c>
      <c r="C31" s="26"/>
      <c r="D31" s="26"/>
      <c r="E31" s="26"/>
    </row>
    <row r="32" spans="1:5" ht="19.5" customHeight="1" x14ac:dyDescent="0.25">
      <c r="A32" s="22">
        <v>2024</v>
      </c>
      <c r="B32" s="29" t="s">
        <v>2</v>
      </c>
      <c r="C32" s="26"/>
      <c r="D32" s="26"/>
      <c r="E32" s="26"/>
    </row>
    <row r="33" spans="1:5" ht="19.5" customHeight="1" x14ac:dyDescent="0.25">
      <c r="A33" s="22">
        <v>2024</v>
      </c>
      <c r="B33" s="29" t="s">
        <v>3</v>
      </c>
      <c r="C33" s="26">
        <v>1</v>
      </c>
      <c r="D33" s="26">
        <v>18000</v>
      </c>
      <c r="E33" s="26">
        <v>2076</v>
      </c>
    </row>
    <row r="34" spans="1:5" ht="19.5" customHeight="1" x14ac:dyDescent="0.25">
      <c r="A34" s="22">
        <v>2024</v>
      </c>
      <c r="B34" s="29" t="s">
        <v>4</v>
      </c>
      <c r="C34" s="26">
        <v>1</v>
      </c>
      <c r="D34" s="26">
        <v>8000</v>
      </c>
      <c r="E34" s="26">
        <v>1901</v>
      </c>
    </row>
    <row r="35" spans="1:5" ht="19.5" customHeight="1" x14ac:dyDescent="0.25">
      <c r="A35" s="22">
        <v>2024</v>
      </c>
      <c r="B35" s="29" t="s">
        <v>5</v>
      </c>
      <c r="C35" s="26"/>
      <c r="D35" s="26"/>
      <c r="E35" s="26"/>
    </row>
    <row r="36" spans="1:5" ht="19.5" customHeight="1" x14ac:dyDescent="0.25">
      <c r="A36" s="22">
        <v>2024</v>
      </c>
      <c r="B36" s="30" t="s">
        <v>0</v>
      </c>
      <c r="C36" s="26">
        <v>2</v>
      </c>
      <c r="D36" s="26">
        <v>26000</v>
      </c>
      <c r="E36" s="26">
        <v>3977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6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Agric21</vt:lpstr>
      <vt:lpstr>Agric21!Zone_d_impression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2022-02-02T13:56:52Z</cp:lastPrinted>
  <dcterms:created xsi:type="dcterms:W3CDTF">2008-10-13T08:23:22Z</dcterms:created>
  <dcterms:modified xsi:type="dcterms:W3CDTF">2026-01-07T10:10:13Z</dcterms:modified>
</cp:coreProperties>
</file>