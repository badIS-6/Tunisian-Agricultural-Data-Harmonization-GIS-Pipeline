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8800" windowHeight="1188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1" i="1" l="1"/>
  <c r="H11" i="1"/>
  <c r="G11" i="1"/>
  <c r="F11" i="1"/>
  <c r="E11" i="1"/>
  <c r="D11" i="1"/>
  <c r="C11" i="1"/>
</calcChain>
</file>

<file path=xl/sharedStrings.xml><?xml version="1.0" encoding="utf-8"?>
<sst xmlns="http://schemas.openxmlformats.org/spreadsheetml/2006/main" count="83" uniqueCount="20">
  <si>
    <t>باجة الشمالية</t>
  </si>
  <si>
    <t>-</t>
  </si>
  <si>
    <t>باجة الجنوبية</t>
  </si>
  <si>
    <t>مجاز الباب</t>
  </si>
  <si>
    <t>قبلاط</t>
  </si>
  <si>
    <t>تستور</t>
  </si>
  <si>
    <t>تبرسق</t>
  </si>
  <si>
    <t>تيبار</t>
  </si>
  <si>
    <t>عمدون</t>
  </si>
  <si>
    <t>نفزة</t>
  </si>
  <si>
    <t>كامل الولاية</t>
  </si>
  <si>
    <t>Année</t>
  </si>
  <si>
    <t>Délégation</t>
  </si>
  <si>
    <t>Bois (m3)</t>
  </si>
  <si>
    <t>Liège (quintal)</t>
  </si>
  <si>
    <t>Les plants forestiers (mille plants)</t>
  </si>
  <si>
    <t>Huile de romarin (ha)</t>
  </si>
  <si>
    <t>Production fourragère (million unités fourragères)</t>
  </si>
  <si>
    <t>Chasse terrestre (tonne)</t>
  </si>
  <si>
    <t>Graines de pin d’Alep (tonne): Zgougou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</si>
</sst>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"/>
    <numFmt numFmtId="165" formatCode="0.0"/>
  </numFmts>
  <fonts count="4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2" borderId="1" xfId="0" applyNumberFormat="1" applyFont="1" applyFill="1" applyBorder="1" applyAlignment="1">
      <alignment horizontal="center" vertical="center" readingOrder="2"/>
    </xf>
    <xf numFmtId="164" fontId="3" fillId="2" borderId="1" xfId="0" applyNumberFormat="1" applyFont="1" applyFill="1" applyBorder="1" applyAlignment="1">
      <alignment horizontal="center" vertical="center" readingOrder="2"/>
    </xf>
    <xf numFmtId="1" fontId="3" fillId="2" borderId="1" xfId="0" applyNumberFormat="1" applyFont="1" applyFill="1" applyBorder="1" applyAlignment="1">
      <alignment horizontal="center" vertical="center" readingOrder="2"/>
    </xf>
    <xf numFmtId="165" fontId="3" fillId="2" borderId="1" xfId="0" applyNumberFormat="1" applyFont="1" applyFill="1" applyBorder="1" applyAlignment="1">
      <alignment horizontal="center" vertical="center"/>
    </xf>
    <xf numFmtId="165" fontId="3" fillId="2" borderId="1" xfId="0" applyNumberFormat="1" applyFont="1" applyFill="1" applyBorder="1" applyAlignment="1">
      <alignment horizontal="center" vertical="center" readingOrder="2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readingOrder="2"/>
    </xf>
    <xf numFmtId="2" fontId="3" fillId="2" borderId="1" xfId="0" applyNumberFormat="1" applyFont="1" applyFill="1" applyBorder="1" applyAlignment="1">
      <alignment horizontal="center" vertical="center" readingOrder="2"/>
    </xf>
    <xf numFmtId="0" fontId="3" fillId="2" borderId="1" xfId="0" applyNumberFormat="1" applyFont="1" applyFill="1" applyBorder="1" applyAlignment="1">
      <alignment vertical="center" readingOrder="2"/>
    </xf>
    <xf numFmtId="0" fontId="2" fillId="2" borderId="1" xfId="0" applyNumberFormat="1" applyFont="1" applyFill="1" applyBorder="1" applyAlignment="1">
      <alignment horizontal="center" vertical="center" wrapText="1" readingOrder="2"/>
    </xf>
    <xf numFmtId="164" fontId="2" fillId="2" borderId="1" xfId="0" applyNumberFormat="1" applyFont="1" applyFill="1" applyBorder="1" applyAlignment="1">
      <alignment horizontal="center" vertical="center" wrapText="1" readingOrder="2"/>
    </xf>
    <xf numFmtId="0" fontId="1" fillId="0" borderId="1" xfId="0" applyFont="1" applyBorder="1"/>
    <xf numFmtId="0" fontId="1" fillId="0" borderId="1" xfId="0" applyFont="1" applyBorder="1" applyAlignment="1">
      <alignment horizontal="left"/>
    </xf>
    <xf numFmtId="0" fontId="3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tabSelected="1" workbookViewId="0">
      <selection activeCell="D26" sqref="D26"/>
    </sheetView>
  </sheetViews>
  <sheetFormatPr baseColWidth="10" defaultColWidth="9.140625" defaultRowHeight="15" x14ac:dyDescent="0.25"/>
  <cols>
    <col min="2" max="2" width="15.5703125" customWidth="1"/>
    <col min="3" max="3" width="22.140625" customWidth="1"/>
    <col min="4" max="4" width="31" customWidth="1"/>
    <col min="5" max="5" width="32.42578125" customWidth="1"/>
    <col min="6" max="6" width="25.7109375" customWidth="1"/>
    <col min="7" max="7" width="29.42578125" customWidth="1"/>
    <col min="8" max="8" width="24.28515625" customWidth="1"/>
    <col min="9" max="9" width="21.85546875" customWidth="1"/>
  </cols>
  <sheetData>
    <row r="1" spans="1:9" ht="24" customHeight="1" x14ac:dyDescent="0.25">
      <c r="A1" s="12" t="s">
        <v>11</v>
      </c>
      <c r="B1" s="6" t="s">
        <v>12</v>
      </c>
      <c r="C1" s="6" t="s">
        <v>13</v>
      </c>
      <c r="D1" s="6" t="s">
        <v>14</v>
      </c>
      <c r="E1" s="6" t="s">
        <v>15</v>
      </c>
      <c r="F1" s="6" t="s">
        <v>16</v>
      </c>
      <c r="G1" s="6" t="s">
        <v>19</v>
      </c>
      <c r="H1" s="6" t="s">
        <v>17</v>
      </c>
      <c r="I1" s="6" t="s">
        <v>18</v>
      </c>
    </row>
    <row r="2" spans="1:9" ht="16.5" customHeight="1" x14ac:dyDescent="0.25">
      <c r="A2" s="13">
        <v>2024</v>
      </c>
      <c r="B2" s="6" t="s">
        <v>0</v>
      </c>
      <c r="C2" s="6"/>
      <c r="D2" s="6" t="s">
        <v>1</v>
      </c>
      <c r="E2" s="6"/>
      <c r="F2" s="6" t="s">
        <v>1</v>
      </c>
      <c r="G2" s="6"/>
      <c r="H2" s="6" t="s">
        <v>1</v>
      </c>
      <c r="I2" s="6">
        <v>1.1000000000000001</v>
      </c>
    </row>
    <row r="3" spans="1:9" ht="16.5" customHeight="1" x14ac:dyDescent="0.25">
      <c r="A3" s="13">
        <v>2024</v>
      </c>
      <c r="B3" s="7" t="s">
        <v>2</v>
      </c>
      <c r="C3" s="1"/>
      <c r="D3" s="8" t="s">
        <v>1</v>
      </c>
      <c r="E3" s="2">
        <v>156.24</v>
      </c>
      <c r="F3" s="2" t="s">
        <v>1</v>
      </c>
      <c r="G3" s="9"/>
      <c r="H3" s="4">
        <v>0.5</v>
      </c>
      <c r="I3" s="14">
        <v>3.2</v>
      </c>
    </row>
    <row r="4" spans="1:9" ht="16.5" customHeight="1" x14ac:dyDescent="0.25">
      <c r="A4" s="13">
        <v>2024</v>
      </c>
      <c r="B4" s="7" t="s">
        <v>3</v>
      </c>
      <c r="C4" s="1">
        <v>3</v>
      </c>
      <c r="D4" s="8" t="s">
        <v>1</v>
      </c>
      <c r="E4" s="3" t="s">
        <v>1</v>
      </c>
      <c r="F4" s="2"/>
      <c r="G4" s="1">
        <v>40</v>
      </c>
      <c r="H4" s="4">
        <v>0.5</v>
      </c>
      <c r="I4" s="14">
        <v>0.9</v>
      </c>
    </row>
    <row r="5" spans="1:9" ht="16.5" customHeight="1" x14ac:dyDescent="0.25">
      <c r="A5" s="13">
        <v>2024</v>
      </c>
      <c r="B5" s="7" t="s">
        <v>4</v>
      </c>
      <c r="C5" s="1"/>
      <c r="D5" s="8" t="s">
        <v>1</v>
      </c>
      <c r="E5" s="2" t="s">
        <v>1</v>
      </c>
      <c r="F5" s="3">
        <v>0</v>
      </c>
      <c r="G5" s="1"/>
      <c r="H5" s="4">
        <v>1.5</v>
      </c>
      <c r="I5" s="14">
        <v>0.2</v>
      </c>
    </row>
    <row r="6" spans="1:9" ht="16.5" customHeight="1" x14ac:dyDescent="0.25">
      <c r="A6" s="13">
        <v>2024</v>
      </c>
      <c r="B6" s="7" t="s">
        <v>5</v>
      </c>
      <c r="C6" s="1">
        <v>938</v>
      </c>
      <c r="D6" s="8" t="s">
        <v>1</v>
      </c>
      <c r="E6" s="2" t="s">
        <v>1</v>
      </c>
      <c r="F6" s="3">
        <v>0</v>
      </c>
      <c r="G6" s="1">
        <v>155</v>
      </c>
      <c r="H6" s="4" t="s">
        <v>1</v>
      </c>
      <c r="I6" s="14">
        <v>2.7</v>
      </c>
    </row>
    <row r="7" spans="1:9" ht="16.5" customHeight="1" x14ac:dyDescent="0.25">
      <c r="A7" s="13">
        <v>2024</v>
      </c>
      <c r="B7" s="7" t="s">
        <v>6</v>
      </c>
      <c r="C7" s="1">
        <v>77</v>
      </c>
      <c r="D7" s="8" t="s">
        <v>1</v>
      </c>
      <c r="E7" s="2">
        <v>94.5</v>
      </c>
      <c r="F7" s="2" t="s">
        <v>1</v>
      </c>
      <c r="G7" s="1">
        <v>75.099999999999994</v>
      </c>
      <c r="H7" s="4" t="s">
        <v>1</v>
      </c>
      <c r="I7" s="14">
        <v>1.8</v>
      </c>
    </row>
    <row r="8" spans="1:9" ht="16.5" customHeight="1" x14ac:dyDescent="0.25">
      <c r="A8" s="13">
        <v>2024</v>
      </c>
      <c r="B8" s="7" t="s">
        <v>7</v>
      </c>
      <c r="C8" s="1"/>
      <c r="D8" s="8" t="s">
        <v>1</v>
      </c>
      <c r="E8" s="2" t="s">
        <v>1</v>
      </c>
      <c r="F8" s="2" t="s">
        <v>1</v>
      </c>
      <c r="G8" s="1">
        <v>30.7</v>
      </c>
      <c r="H8" s="4" t="s">
        <v>1</v>
      </c>
      <c r="I8" s="14">
        <v>0.9</v>
      </c>
    </row>
    <row r="9" spans="1:9" ht="16.5" customHeight="1" x14ac:dyDescent="0.25">
      <c r="A9" s="13">
        <v>2024</v>
      </c>
      <c r="B9" s="7" t="s">
        <v>8</v>
      </c>
      <c r="C9" s="1">
        <v>0</v>
      </c>
      <c r="D9" s="5">
        <v>0</v>
      </c>
      <c r="E9" s="2" t="s">
        <v>1</v>
      </c>
      <c r="F9" s="2" t="s">
        <v>1</v>
      </c>
      <c r="G9" s="1">
        <v>10</v>
      </c>
      <c r="H9" s="4" t="s">
        <v>1</v>
      </c>
      <c r="I9" s="14">
        <v>0.3</v>
      </c>
    </row>
    <row r="10" spans="1:9" ht="16.5" customHeight="1" x14ac:dyDescent="0.25">
      <c r="A10" s="13">
        <v>2024</v>
      </c>
      <c r="B10" s="7" t="s">
        <v>9</v>
      </c>
      <c r="C10" s="1">
        <v>2562.14</v>
      </c>
      <c r="D10" s="5">
        <v>2384.9</v>
      </c>
      <c r="E10" s="5">
        <v>374.2</v>
      </c>
      <c r="F10" s="2" t="s">
        <v>1</v>
      </c>
      <c r="G10" s="1">
        <v>32.5</v>
      </c>
      <c r="H10" s="4">
        <v>4</v>
      </c>
      <c r="I10" s="14">
        <v>7.6</v>
      </c>
    </row>
    <row r="11" spans="1:9" ht="16.5" customHeight="1" x14ac:dyDescent="0.25">
      <c r="A11" s="13">
        <v>2024</v>
      </c>
      <c r="B11" s="7" t="s">
        <v>10</v>
      </c>
      <c r="C11" s="10">
        <f>SUM(C2:C10)</f>
        <v>3580.14</v>
      </c>
      <c r="D11" s="10">
        <f>SUM(D2:D10)</f>
        <v>2384.9</v>
      </c>
      <c r="E11" s="11">
        <f>E10+E7+E3</f>
        <v>624.94000000000005</v>
      </c>
      <c r="F11" s="10">
        <f>SUM(F2:F10)</f>
        <v>0</v>
      </c>
      <c r="G11" s="10">
        <f>SUM(G2:G10)</f>
        <v>343.3</v>
      </c>
      <c r="H11" s="10">
        <f>SUM(H2:H10)</f>
        <v>6.5</v>
      </c>
      <c r="I11" s="10">
        <f>SUM(I2:I10)</f>
        <v>18.700000000000003</v>
      </c>
    </row>
    <row r="12" spans="1:9" ht="16.5" customHeight="1" x14ac:dyDescent="0.25">
      <c r="A12" s="13">
        <v>2025</v>
      </c>
      <c r="B12" s="7" t="s">
        <v>0</v>
      </c>
      <c r="C12" s="13">
        <v>13.5</v>
      </c>
      <c r="D12" s="13" t="s">
        <v>1</v>
      </c>
      <c r="E12" s="13">
        <v>74.146600000000007</v>
      </c>
      <c r="F12" s="13" t="s">
        <v>1</v>
      </c>
      <c r="G12" s="13" t="s">
        <v>1</v>
      </c>
      <c r="H12" s="13" t="s">
        <v>1</v>
      </c>
      <c r="I12" s="13">
        <v>1.3</v>
      </c>
    </row>
    <row r="13" spans="1:9" ht="16.5" customHeight="1" x14ac:dyDescent="0.25">
      <c r="A13" s="13">
        <v>2025</v>
      </c>
      <c r="B13" s="7" t="s">
        <v>2</v>
      </c>
      <c r="C13" s="13">
        <v>10.35</v>
      </c>
      <c r="D13" s="13" t="s">
        <v>1</v>
      </c>
      <c r="E13" s="13" t="s">
        <v>1</v>
      </c>
      <c r="F13" s="13" t="s">
        <v>1</v>
      </c>
      <c r="G13" s="13">
        <v>65</v>
      </c>
      <c r="H13" s="13">
        <v>0.5</v>
      </c>
      <c r="I13" s="13">
        <v>4.0999999999999996</v>
      </c>
    </row>
    <row r="14" spans="1:9" ht="16.5" customHeight="1" x14ac:dyDescent="0.25">
      <c r="A14" s="13">
        <v>2025</v>
      </c>
      <c r="B14" s="7" t="s">
        <v>3</v>
      </c>
      <c r="C14" s="13">
        <v>57.05</v>
      </c>
      <c r="D14" s="13" t="s">
        <v>1</v>
      </c>
      <c r="E14" s="13">
        <v>8.51</v>
      </c>
      <c r="F14" s="13" t="s">
        <v>1</v>
      </c>
      <c r="G14" s="13">
        <v>20</v>
      </c>
      <c r="H14" s="13">
        <v>0.5</v>
      </c>
      <c r="I14" s="13">
        <v>0.3</v>
      </c>
    </row>
    <row r="15" spans="1:9" ht="16.5" customHeight="1" x14ac:dyDescent="0.25">
      <c r="A15" s="13">
        <v>2025</v>
      </c>
      <c r="B15" s="7" t="s">
        <v>4</v>
      </c>
      <c r="C15" s="13" t="s">
        <v>1</v>
      </c>
      <c r="D15" s="13" t="s">
        <v>1</v>
      </c>
      <c r="E15" s="13" t="s">
        <v>1</v>
      </c>
      <c r="F15" s="13" t="s">
        <v>1</v>
      </c>
      <c r="G15" s="13" t="s">
        <v>1</v>
      </c>
      <c r="H15" s="13">
        <v>1.5</v>
      </c>
      <c r="I15" s="13">
        <v>0.2</v>
      </c>
    </row>
    <row r="16" spans="1:9" ht="16.5" customHeight="1" x14ac:dyDescent="0.25">
      <c r="A16" s="13">
        <v>2025</v>
      </c>
      <c r="B16" s="7" t="s">
        <v>5</v>
      </c>
      <c r="C16" s="13">
        <v>23.5</v>
      </c>
      <c r="D16" s="13" t="s">
        <v>1</v>
      </c>
      <c r="E16" s="13" t="s">
        <v>1</v>
      </c>
      <c r="F16" s="13" t="s">
        <v>1</v>
      </c>
      <c r="G16" s="13">
        <v>10</v>
      </c>
      <c r="H16" s="13" t="s">
        <v>1</v>
      </c>
      <c r="I16" s="13">
        <v>2.5</v>
      </c>
    </row>
    <row r="17" spans="1:9" ht="16.5" customHeight="1" x14ac:dyDescent="0.25">
      <c r="A17" s="13">
        <v>2025</v>
      </c>
      <c r="B17" s="7" t="s">
        <v>6</v>
      </c>
      <c r="C17" s="13">
        <v>394</v>
      </c>
      <c r="D17" s="13" t="s">
        <v>1</v>
      </c>
      <c r="E17" s="13">
        <v>47.85</v>
      </c>
      <c r="F17" s="13" t="s">
        <v>1</v>
      </c>
      <c r="G17" s="13">
        <v>1</v>
      </c>
      <c r="H17" s="13" t="s">
        <v>1</v>
      </c>
      <c r="I17" s="13">
        <v>2.1</v>
      </c>
    </row>
    <row r="18" spans="1:9" ht="16.5" customHeight="1" x14ac:dyDescent="0.25">
      <c r="A18" s="13">
        <v>2025</v>
      </c>
      <c r="B18" s="7" t="s">
        <v>7</v>
      </c>
      <c r="C18" s="13">
        <v>2371.5</v>
      </c>
      <c r="D18" s="13" t="s">
        <v>1</v>
      </c>
      <c r="E18" s="13" t="s">
        <v>1</v>
      </c>
      <c r="F18" s="13" t="s">
        <v>1</v>
      </c>
      <c r="G18" s="13">
        <v>0.4</v>
      </c>
      <c r="H18" s="13" t="s">
        <v>1</v>
      </c>
      <c r="I18" s="13">
        <v>1.2</v>
      </c>
    </row>
    <row r="19" spans="1:9" ht="16.5" customHeight="1" x14ac:dyDescent="0.25">
      <c r="A19" s="13">
        <v>2025</v>
      </c>
      <c r="B19" s="7" t="s">
        <v>8</v>
      </c>
      <c r="C19" s="13" t="s">
        <v>1</v>
      </c>
      <c r="D19" s="13">
        <v>0</v>
      </c>
      <c r="E19" s="13" t="s">
        <v>1</v>
      </c>
      <c r="F19" s="13" t="s">
        <v>1</v>
      </c>
      <c r="G19" s="13" t="s">
        <v>1</v>
      </c>
      <c r="H19" s="13" t="s">
        <v>1</v>
      </c>
      <c r="I19" s="13">
        <v>0.4</v>
      </c>
    </row>
    <row r="20" spans="1:9" ht="16.5" customHeight="1" x14ac:dyDescent="0.25">
      <c r="A20" s="13">
        <v>2025</v>
      </c>
      <c r="B20" s="7" t="s">
        <v>9</v>
      </c>
      <c r="C20" s="13">
        <v>30090.203000000001</v>
      </c>
      <c r="D20" s="13">
        <v>2339.83</v>
      </c>
      <c r="E20" s="13">
        <v>315.66000000000003</v>
      </c>
      <c r="F20" s="13" t="s">
        <v>1</v>
      </c>
      <c r="G20" s="13">
        <v>86.5</v>
      </c>
      <c r="H20" s="13">
        <v>4</v>
      </c>
      <c r="I20" s="13">
        <v>7.8</v>
      </c>
    </row>
    <row r="21" spans="1:9" ht="16.5" customHeight="1" x14ac:dyDescent="0.25">
      <c r="A21" s="13">
        <v>2025</v>
      </c>
      <c r="B21" s="7" t="s">
        <v>10</v>
      </c>
      <c r="C21" s="7">
        <v>32960.103000000003</v>
      </c>
      <c r="D21" s="7">
        <v>2339.83</v>
      </c>
      <c r="E21" s="7">
        <v>446.16660000000002</v>
      </c>
      <c r="F21" s="7">
        <v>0</v>
      </c>
      <c r="G21" s="7">
        <v>182.9</v>
      </c>
      <c r="H21" s="7">
        <v>6.5</v>
      </c>
      <c r="I21" s="7">
        <v>19.899999999999999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2026-06-12T13:51:47Z</dcterms:modified>
</cp:coreProperties>
</file>